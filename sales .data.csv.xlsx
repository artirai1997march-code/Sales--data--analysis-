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B5705498-AC99-1F41-93BC-E44195DD1A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2" sheetId="1" r:id="rId1"/>
    <sheet name="Sheet3" sheetId="4" r:id="rId2"/>
  </sheets>
  <definedNames>
    <definedName name="_xlchart.v1.0" hidden="1">Sheet3!$A$16:$A$22</definedName>
    <definedName name="_xlchart.v1.1" hidden="1">Sheet3!$B$15</definedName>
    <definedName name="_xlchart.v1.2" hidden="1">Sheet3!$B$16:$B$22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1" l="1"/>
  <c r="A27" i="1"/>
  <c r="A26" i="1"/>
  <c r="A25" i="1"/>
  <c r="A24" i="1"/>
  <c r="H14" i="1"/>
  <c r="H13" i="1"/>
  <c r="H12" i="1"/>
  <c r="H11" i="1"/>
  <c r="H6" i="1"/>
  <c r="H5" i="1"/>
  <c r="H4" i="1"/>
</calcChain>
</file>

<file path=xl/sharedStrings.xml><?xml version="1.0" encoding="utf-8"?>
<sst xmlns="http://schemas.openxmlformats.org/spreadsheetml/2006/main" count="75" uniqueCount="30">
  <si>
    <t>Product</t>
  </si>
  <si>
    <t>Region</t>
  </si>
  <si>
    <t>Sales</t>
  </si>
  <si>
    <t>Quantity</t>
  </si>
  <si>
    <t>Laptop</t>
  </si>
  <si>
    <t>North</t>
  </si>
  <si>
    <t>Mouse</t>
  </si>
  <si>
    <t>South</t>
  </si>
  <si>
    <t>Keyboard</t>
  </si>
  <si>
    <t>East</t>
  </si>
  <si>
    <t>West</t>
  </si>
  <si>
    <t>Date</t>
  </si>
  <si>
    <t>Analyze Sales by Product</t>
  </si>
  <si>
    <t>Total</t>
  </si>
  <si>
    <t xml:space="preserve">Product </t>
  </si>
  <si>
    <t>keyboard</t>
  </si>
  <si>
    <t>Analyze Sales by Region</t>
  </si>
  <si>
    <t>Total sales</t>
  </si>
  <si>
    <t>south</t>
  </si>
  <si>
    <t xml:space="preserve">Sales analysis </t>
  </si>
  <si>
    <t>Total quantity sold</t>
  </si>
  <si>
    <t>Average transaction sales</t>
  </si>
  <si>
    <t xml:space="preserve">Highest transaction </t>
  </si>
  <si>
    <t xml:space="preserve">lowest transaction </t>
  </si>
  <si>
    <t>Product insight</t>
  </si>
  <si>
    <t>laptop</t>
  </si>
  <si>
    <t xml:space="preserve">mouse </t>
  </si>
  <si>
    <t>sales</t>
  </si>
  <si>
    <t xml:space="preserve">Regional insight </t>
  </si>
  <si>
    <t xml:space="preserve">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</si>
</sst>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6" fontId="0" fillId="0" borderId="0" xfId="0" applyNumberFormat="1"/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Sheet3!$A$1:$A$6</c:f>
              <c:strCache>
                <c:ptCount val="6"/>
                <c:pt idx="0">
                  <c:v>Sales analysis </c:v>
                </c:pt>
                <c:pt idx="2">
                  <c:v>Total sales</c:v>
                </c:pt>
                <c:pt idx="3">
                  <c:v>Total quantity sold</c:v>
                </c:pt>
                <c:pt idx="4">
                  <c:v>Average transaction sales</c:v>
                </c:pt>
                <c:pt idx="5">
                  <c:v>Highest transaction </c:v>
                </c:pt>
              </c:strCache>
            </c:strRef>
          </c:cat>
          <c:val>
            <c:numRef>
              <c:f>Sheet3!$B$1:$B$6</c:f>
              <c:numCache>
                <c:formatCode>General</c:formatCode>
                <c:ptCount val="6"/>
                <c:pt idx="2" formatCode="&quot;₹&quot;#,##0_);[Red]\(&quot;₹&quot;#,##0\)">
                  <c:v>493100</c:v>
                </c:pt>
                <c:pt idx="3">
                  <c:v>88</c:v>
                </c:pt>
                <c:pt idx="4" formatCode="&quot;₹&quot;#,##0_);[Red]\(&quot;₹&quot;#,##0\)">
                  <c:v>24655</c:v>
                </c:pt>
                <c:pt idx="5" formatCode="&quot;₹&quot;#,##0_);[Red]\(&quot;₹&quot;#,##0\)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F-EC4B-9007-6E095750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8823440"/>
        <c:axId val="1319337296"/>
        <c:axId val="239734720"/>
      </c:bar3DChart>
      <c:catAx>
        <c:axId val="13188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37296"/>
        <c:crosses val="autoZero"/>
        <c:auto val="1"/>
        <c:lblAlgn val="ctr"/>
        <c:lblOffset val="100"/>
        <c:noMultiLvlLbl val="0"/>
      </c:catAx>
      <c:valAx>
        <c:axId val="13193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23440"/>
        <c:crosses val="autoZero"/>
        <c:crossBetween val="between"/>
      </c:valAx>
      <c:serAx>
        <c:axId val="23973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372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Sheet3!$A$11:$A$13</c:f>
              <c:strCache>
                <c:ptCount val="3"/>
                <c:pt idx="0">
                  <c:v>laptop</c:v>
                </c:pt>
                <c:pt idx="1">
                  <c:v>mouse </c:v>
                </c:pt>
                <c:pt idx="2">
                  <c:v>keyboard</c:v>
                </c:pt>
              </c:strCache>
            </c:strRef>
          </c:cat>
          <c:val>
            <c:numRef>
              <c:f>Sheet3!$B$11:$B$13</c:f>
              <c:numCache>
                <c:formatCode>"₹"#,##0_);[Red]\("₹"#,##0\)</c:formatCode>
                <c:ptCount val="3"/>
                <c:pt idx="0">
                  <c:v>455000</c:v>
                </c:pt>
                <c:pt idx="1">
                  <c:v>14700</c:v>
                </c:pt>
                <c:pt idx="2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E544-AD79-7E69677188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24144336"/>
        <c:axId val="1324147024"/>
      </c:barChart>
      <c:catAx>
        <c:axId val="13241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47024"/>
        <c:crosses val="autoZero"/>
        <c:auto val="1"/>
        <c:lblAlgn val="ctr"/>
        <c:lblOffset val="100"/>
        <c:noMultiLvlLbl val="0"/>
      </c:catAx>
      <c:valAx>
        <c:axId val="13241470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crossAx val="132414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x:txPr>
    </cx:title>
    <cx:plotArea>
      <cx:plotAreaRegion>
        <cx:series layoutId="clusteredColumn" uniqueId="{4AEAC5D0-CF4E-314E-8105-3201A7000802}">
          <cx:tx>
            <cx:txData>
              <cx:f>_xlchart.v1.1</cx:f>
              <cx:v/>
            </cx:txData>
          </cx:tx>
          <cx:dataId val="0"/>
          <cx:layoutPr>
            <cx:aggregation/>
          </cx:layoutPr>
          <cx:axisId val="1"/>
        </cx:series>
        <cx:series layoutId="paretoLine" ownerIdx="0" uniqueId="{CAB8530A-0159-514A-94DE-081814E7554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104503</xdr:colOff>
      <xdr:row>0</xdr:row>
      <xdr:rowOff>116115</xdr:rowOff>
    </xdr:from>
    <xdr:to>
      <xdr:col>13</xdr:col>
      <xdr:colOff>23223</xdr:colOff>
      <xdr:row>17</xdr:row>
      <xdr:rowOff>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1F124-20A0-0E42-9DCD-B40F19ED2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155594</xdr:colOff>
      <xdr:row>20</xdr:row>
      <xdr:rowOff>125402</xdr:rowOff>
    </xdr:from>
    <xdr:to>
      <xdr:col>11</xdr:col>
      <xdr:colOff>162560</xdr:colOff>
      <xdr:row>34</xdr:row>
      <xdr:rowOff>73151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71BB03-EDB0-5C30-C478-6097EA65B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1170432</xdr:colOff>
      <xdr:row>36</xdr:row>
      <xdr:rowOff>105664</xdr:rowOff>
    </xdr:from>
    <xdr:to>
      <xdr:col>7</xdr:col>
      <xdr:colOff>453426</xdr:colOff>
      <xdr:row>50</xdr:row>
      <xdr:rowOff>166624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B051ED-6AF6-9848-915C-E91D4BEAE2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432" y="7128256"/>
              <a:ext cx="4574322" cy="27919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2F46C-BCC1-1840-BBF7-E13F82D1E988}" name="Table1" displayName="Table1" ref="A1:E21" totalsRowShown="0">
  <autoFilter ref="A1:E21" xr:uid="{F062F46C-BCC1-1840-BBF7-E13F82D1E988}"/>
  <tableColumns count="5">
    <tableColumn id="1" xr3:uid="{96D80272-1B4B-9B4F-908B-DF18C964FC2E}" name="Date" dataDxfId="0"/>
    <tableColumn id="2" xr3:uid="{D92CEB25-6B68-FF4E-85F1-D3685BAADCBA}" name="Product"/>
    <tableColumn id="3" xr3:uid="{BDC6695F-0FC1-3342-966C-FE362A174BC1}" name="Region"/>
    <tableColumn id="4" xr3:uid="{56AEED35-5295-7B48-A498-4D03304A1211}" name="Sales"/>
    <tableColumn id="5" xr3:uid="{1D794B22-306A-2F49-9E65-15CB25511685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0F4A-B7FA-604E-8C21-0005CD4040D7}">
  <dimension ref="A1:I28"/>
  <sheetViews>
    <sheetView tabSelected="1" zoomScaleNormal="60" zoomScaleSheetLayoutView="100" workbookViewId="0">
      <selection activeCell="E39" sqref="E39"/>
    </sheetView>
  </sheetViews>
  <sheetFormatPr defaultRowHeight="15" x14ac:dyDescent="0.2"/>
  <cols>
    <col min="1" max="1" width="11.56640625" customWidth="1"/>
    <col min="2" max="2" width="10.4921875" bestFit="1" customWidth="1"/>
    <col min="3" max="3" width="9.68359375" bestFit="1" customWidth="1"/>
    <col min="5" max="5" width="11.02734375" bestFit="1" customWidth="1"/>
  </cols>
  <sheetData>
    <row r="1" spans="1:9" x14ac:dyDescent="0.2">
      <c r="A1" s="1" t="s">
        <v>11</v>
      </c>
      <c r="B1" t="s">
        <v>0</v>
      </c>
      <c r="C1" t="s">
        <v>1</v>
      </c>
      <c r="D1" t="s">
        <v>2</v>
      </c>
      <c r="E1" t="s">
        <v>3</v>
      </c>
      <c r="G1" s="3" t="s">
        <v>12</v>
      </c>
      <c r="H1" s="3"/>
      <c r="I1" s="3"/>
    </row>
    <row r="2" spans="1:9" x14ac:dyDescent="0.2">
      <c r="A2" s="1">
        <v>46266</v>
      </c>
      <c r="B2" t="s">
        <v>4</v>
      </c>
      <c r="C2" t="s">
        <v>5</v>
      </c>
      <c r="D2">
        <v>50000</v>
      </c>
      <c r="E2">
        <v>2</v>
      </c>
    </row>
    <row r="3" spans="1:9" x14ac:dyDescent="0.2">
      <c r="A3" s="1">
        <v>46267</v>
      </c>
      <c r="B3" t="s">
        <v>6</v>
      </c>
      <c r="C3" t="s">
        <v>7</v>
      </c>
      <c r="D3">
        <v>1500</v>
      </c>
      <c r="E3">
        <v>5</v>
      </c>
      <c r="G3" s="4" t="s">
        <v>14</v>
      </c>
      <c r="H3" s="2" t="s">
        <v>13</v>
      </c>
    </row>
    <row r="4" spans="1:9" x14ac:dyDescent="0.2">
      <c r="A4" s="1">
        <v>46268</v>
      </c>
      <c r="B4" t="s">
        <v>8</v>
      </c>
      <c r="C4" t="s">
        <v>9</v>
      </c>
      <c r="D4">
        <v>3000</v>
      </c>
      <c r="E4">
        <v>3</v>
      </c>
      <c r="G4" t="s">
        <v>4</v>
      </c>
      <c r="H4">
        <f>SUMIF(B2:B21,"Laptop",D2:D21)</f>
        <v>455000</v>
      </c>
    </row>
    <row r="5" spans="1:9" x14ac:dyDescent="0.2">
      <c r="A5" s="1">
        <v>46269</v>
      </c>
      <c r="B5" t="s">
        <v>4</v>
      </c>
      <c r="C5" t="s">
        <v>10</v>
      </c>
      <c r="D5">
        <v>75000</v>
      </c>
      <c r="E5">
        <v>3</v>
      </c>
      <c r="G5" t="s">
        <v>6</v>
      </c>
      <c r="H5">
        <f>SUMIF(B2:B21,"Mouse",D2:D21)</f>
        <v>14700</v>
      </c>
    </row>
    <row r="6" spans="1:9" x14ac:dyDescent="0.2">
      <c r="A6" s="1">
        <v>46270</v>
      </c>
      <c r="B6" t="s">
        <v>6</v>
      </c>
      <c r="C6" t="s">
        <v>5</v>
      </c>
      <c r="D6">
        <v>2400</v>
      </c>
      <c r="E6">
        <v>8</v>
      </c>
      <c r="G6" t="s">
        <v>15</v>
      </c>
      <c r="H6">
        <f>SUMIF(B2:B21,"Keyboard",D2:D21)</f>
        <v>23400</v>
      </c>
    </row>
    <row r="7" spans="1:9" x14ac:dyDescent="0.2">
      <c r="A7" s="1">
        <v>46271</v>
      </c>
      <c r="B7" t="s">
        <v>8</v>
      </c>
      <c r="C7" t="s">
        <v>7</v>
      </c>
      <c r="D7">
        <v>4500</v>
      </c>
      <c r="E7">
        <v>5</v>
      </c>
    </row>
    <row r="8" spans="1:9" x14ac:dyDescent="0.2">
      <c r="A8" s="1">
        <v>46272</v>
      </c>
      <c r="B8" t="s">
        <v>4</v>
      </c>
      <c r="C8" t="s">
        <v>9</v>
      </c>
      <c r="D8">
        <v>60000</v>
      </c>
      <c r="E8">
        <v>2</v>
      </c>
      <c r="G8" s="3" t="s">
        <v>16</v>
      </c>
      <c r="H8" s="3"/>
      <c r="I8" s="3"/>
    </row>
    <row r="9" spans="1:9" x14ac:dyDescent="0.2">
      <c r="A9" s="1">
        <v>46273</v>
      </c>
      <c r="B9" t="s">
        <v>6</v>
      </c>
      <c r="C9" t="s">
        <v>10</v>
      </c>
      <c r="D9">
        <v>1800</v>
      </c>
      <c r="E9">
        <v>6</v>
      </c>
    </row>
    <row r="10" spans="1:9" x14ac:dyDescent="0.2">
      <c r="A10" s="1">
        <v>46274</v>
      </c>
      <c r="B10" t="s">
        <v>8</v>
      </c>
      <c r="C10" t="s">
        <v>5</v>
      </c>
      <c r="D10">
        <v>3600</v>
      </c>
      <c r="E10">
        <v>4</v>
      </c>
      <c r="G10" s="2" t="s">
        <v>1</v>
      </c>
      <c r="H10" s="2" t="s">
        <v>17</v>
      </c>
    </row>
    <row r="11" spans="1:9" x14ac:dyDescent="0.2">
      <c r="A11" s="1">
        <v>46275</v>
      </c>
      <c r="B11" t="s">
        <v>4</v>
      </c>
      <c r="C11" t="s">
        <v>7</v>
      </c>
      <c r="D11">
        <v>55000</v>
      </c>
      <c r="E11">
        <v>2</v>
      </c>
      <c r="G11" t="s">
        <v>5</v>
      </c>
      <c r="H11">
        <f>SUMIF(C2:C21,"North",D2:D21)</f>
        <v>122900</v>
      </c>
    </row>
    <row r="12" spans="1:9" x14ac:dyDescent="0.2">
      <c r="A12" s="1">
        <v>46276</v>
      </c>
      <c r="B12" t="s">
        <v>6</v>
      </c>
      <c r="C12" t="s">
        <v>9</v>
      </c>
      <c r="D12">
        <v>2100</v>
      </c>
      <c r="E12">
        <v>7</v>
      </c>
      <c r="G12" t="s">
        <v>18</v>
      </c>
      <c r="H12">
        <f>SUMIF(C2:C21,"south",D2:D21)</f>
        <v>68500</v>
      </c>
    </row>
    <row r="13" spans="1:9" x14ac:dyDescent="0.2">
      <c r="A13" s="1">
        <v>46277</v>
      </c>
      <c r="B13" t="s">
        <v>8</v>
      </c>
      <c r="C13" t="s">
        <v>10</v>
      </c>
      <c r="D13">
        <v>4200</v>
      </c>
      <c r="E13">
        <v>4</v>
      </c>
      <c r="G13" t="s">
        <v>9</v>
      </c>
      <c r="H13">
        <f>SUMIF(C2:C21,"East",D2:D21)</f>
        <v>138400</v>
      </c>
    </row>
    <row r="14" spans="1:9" x14ac:dyDescent="0.2">
      <c r="A14" s="1">
        <v>46278</v>
      </c>
      <c r="B14" t="s">
        <v>4</v>
      </c>
      <c r="C14" t="s">
        <v>5</v>
      </c>
      <c r="D14">
        <v>65000</v>
      </c>
      <c r="E14">
        <v>2</v>
      </c>
      <c r="G14" t="s">
        <v>10</v>
      </c>
      <c r="H14">
        <f>SUMIF(C2:C21,"west",D2:D21)</f>
        <v>163300</v>
      </c>
    </row>
    <row r="15" spans="1:9" x14ac:dyDescent="0.2">
      <c r="A15" s="1">
        <v>46279</v>
      </c>
      <c r="B15" t="s">
        <v>6</v>
      </c>
      <c r="C15" t="s">
        <v>7</v>
      </c>
      <c r="D15">
        <v>2700</v>
      </c>
      <c r="E15">
        <v>9</v>
      </c>
    </row>
    <row r="16" spans="1:9" x14ac:dyDescent="0.2">
      <c r="A16" s="1">
        <v>46280</v>
      </c>
      <c r="B16" t="s">
        <v>8</v>
      </c>
      <c r="C16" t="s">
        <v>9</v>
      </c>
      <c r="D16">
        <v>3300</v>
      </c>
      <c r="E16">
        <v>3</v>
      </c>
    </row>
    <row r="17" spans="1:5" x14ac:dyDescent="0.2">
      <c r="A17" s="1">
        <v>46281</v>
      </c>
      <c r="B17" t="s">
        <v>4</v>
      </c>
      <c r="C17" t="s">
        <v>10</v>
      </c>
      <c r="D17">
        <v>80000</v>
      </c>
      <c r="E17">
        <v>3</v>
      </c>
    </row>
    <row r="18" spans="1:5" x14ac:dyDescent="0.2">
      <c r="A18" s="1">
        <v>46282</v>
      </c>
      <c r="B18" t="s">
        <v>6</v>
      </c>
      <c r="C18" t="s">
        <v>5</v>
      </c>
      <c r="D18">
        <v>1900</v>
      </c>
      <c r="E18">
        <v>6</v>
      </c>
    </row>
    <row r="19" spans="1:5" x14ac:dyDescent="0.2">
      <c r="A19" s="1">
        <v>46283</v>
      </c>
      <c r="B19" t="s">
        <v>8</v>
      </c>
      <c r="C19" t="s">
        <v>7</v>
      </c>
      <c r="D19">
        <v>4800</v>
      </c>
      <c r="E19">
        <v>5</v>
      </c>
    </row>
    <row r="20" spans="1:5" x14ac:dyDescent="0.2">
      <c r="A20" s="1">
        <v>46284</v>
      </c>
      <c r="B20" t="s">
        <v>4</v>
      </c>
      <c r="C20" t="s">
        <v>9</v>
      </c>
      <c r="D20">
        <v>70000</v>
      </c>
      <c r="E20">
        <v>2</v>
      </c>
    </row>
    <row r="21" spans="1:5" x14ac:dyDescent="0.2">
      <c r="A21" s="1">
        <v>46285</v>
      </c>
      <c r="B21" t="s">
        <v>6</v>
      </c>
      <c r="C21" t="s">
        <v>10</v>
      </c>
      <c r="D21">
        <v>2300</v>
      </c>
      <c r="E21">
        <v>7</v>
      </c>
    </row>
    <row r="24" spans="1:5" x14ac:dyDescent="0.2">
      <c r="A24" s="6">
        <f>SUM(D2:D21)</f>
        <v>493100</v>
      </c>
    </row>
    <row r="25" spans="1:5" x14ac:dyDescent="0.2">
      <c r="A25" s="6">
        <f>SUM(E2:E21)</f>
        <v>88</v>
      </c>
    </row>
    <row r="26" spans="1:5" x14ac:dyDescent="0.2">
      <c r="A26" s="7">
        <f>AVERAGE(D2:D21)</f>
        <v>24655</v>
      </c>
    </row>
    <row r="27" spans="1:5" x14ac:dyDescent="0.2">
      <c r="A27" s="6">
        <f>MIN(D2:D21)</f>
        <v>1500</v>
      </c>
    </row>
    <row r="28" spans="1:5" x14ac:dyDescent="0.2">
      <c r="A28" s="6">
        <f>MAX(D2:D21)</f>
        <v>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C8AA-96D1-1342-92F8-DF5233AEFE3F}">
  <dimension ref="A1:B20"/>
  <sheetViews>
    <sheetView zoomScaleNormal="60" zoomScaleSheetLayoutView="100" workbookViewId="0">
      <selection activeCell="H35" sqref="H35:I38"/>
    </sheetView>
  </sheetViews>
  <sheetFormatPr defaultRowHeight="15" x14ac:dyDescent="0.2"/>
  <cols>
    <col min="1" max="1" width="21.7890625" customWidth="1"/>
    <col min="2" max="2" width="9.81640625" customWidth="1"/>
  </cols>
  <sheetData>
    <row r="1" spans="1:2" x14ac:dyDescent="0.2">
      <c r="A1" s="2" t="s">
        <v>19</v>
      </c>
    </row>
    <row r="3" spans="1:2" x14ac:dyDescent="0.2">
      <c r="A3" t="s">
        <v>17</v>
      </c>
      <c r="B3" s="5">
        <v>493100</v>
      </c>
    </row>
    <row r="4" spans="1:2" x14ac:dyDescent="0.2">
      <c r="A4" t="s">
        <v>20</v>
      </c>
      <c r="B4">
        <v>88</v>
      </c>
    </row>
    <row r="5" spans="1:2" x14ac:dyDescent="0.2">
      <c r="A5" t="s">
        <v>21</v>
      </c>
      <c r="B5" s="5">
        <v>24655</v>
      </c>
    </row>
    <row r="6" spans="1:2" x14ac:dyDescent="0.2">
      <c r="A6" t="s">
        <v>22</v>
      </c>
      <c r="B6" s="5">
        <v>80000</v>
      </c>
    </row>
    <row r="7" spans="1:2" x14ac:dyDescent="0.2">
      <c r="A7" t="s">
        <v>23</v>
      </c>
      <c r="B7" s="5">
        <v>1500</v>
      </c>
    </row>
    <row r="10" spans="1:2" x14ac:dyDescent="0.2">
      <c r="A10" s="2" t="s">
        <v>24</v>
      </c>
      <c r="B10" s="2" t="s">
        <v>27</v>
      </c>
    </row>
    <row r="11" spans="1:2" x14ac:dyDescent="0.2">
      <c r="A11" t="s">
        <v>25</v>
      </c>
      <c r="B11" s="5">
        <v>455000</v>
      </c>
    </row>
    <row r="12" spans="1:2" x14ac:dyDescent="0.2">
      <c r="A12" t="s">
        <v>26</v>
      </c>
      <c r="B12" s="5">
        <v>14700</v>
      </c>
    </row>
    <row r="13" spans="1:2" x14ac:dyDescent="0.2">
      <c r="A13" t="s">
        <v>15</v>
      </c>
      <c r="B13" s="5">
        <v>23400</v>
      </c>
    </row>
    <row r="16" spans="1:2" x14ac:dyDescent="0.2">
      <c r="A16" s="2" t="s">
        <v>28</v>
      </c>
      <c r="B16" s="2" t="s">
        <v>27</v>
      </c>
    </row>
    <row r="17" spans="1:2" x14ac:dyDescent="0.2">
      <c r="A17" t="s">
        <v>29</v>
      </c>
      <c r="B17" s="5">
        <v>163300</v>
      </c>
    </row>
    <row r="18" spans="1:2" x14ac:dyDescent="0.2">
      <c r="A18" t="s">
        <v>18</v>
      </c>
      <c r="B18" s="5">
        <v>138400</v>
      </c>
    </row>
    <row r="19" spans="1:2" x14ac:dyDescent="0.2">
      <c r="A19" t="s">
        <v>9</v>
      </c>
      <c r="B19" s="5">
        <v>122900</v>
      </c>
    </row>
    <row r="20" spans="1:2" x14ac:dyDescent="0.2">
      <c r="A20" t="s">
        <v>10</v>
      </c>
      <c r="B20" s="5">
        <v>68500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Rai</dc:creator>
  <dcterms:created xsi:type="dcterms:W3CDTF">2026-09-24T14:12:47Z</dcterms:created>
</cp:coreProperties>
</file>